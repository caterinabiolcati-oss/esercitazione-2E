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  <sheet state="visible" name="Copia di Foglio1" sheetId="2" r:id="rId6"/>
  </sheets>
  <definedNames/>
  <calcPr/>
</workbook>
</file>

<file path=xl/sharedStrings.xml><?xml version="1.0" encoding="utf-8"?>
<sst xmlns="http://schemas.openxmlformats.org/spreadsheetml/2006/main" count="71" uniqueCount="37">
  <si>
    <t>VERIFICA TIC</t>
  </si>
  <si>
    <t>Cognome</t>
  </si>
  <si>
    <t>Nome</t>
  </si>
  <si>
    <t>Data</t>
  </si>
  <si>
    <t>Completare la tabella effettuando i calcoli richiesti utilizzando le formule viste in classe/laboratorio.</t>
  </si>
  <si>
    <t>Formattare la tabella utilizzando bordi, colori, grassetto/corsivo, diversi tipi e dimensioni dei font.</t>
  </si>
  <si>
    <t>Utilizzare la formattazione condizionale per evidenziare la colonna "Lo compro?"</t>
  </si>
  <si>
    <t>PROSPETTO ACQUISTI</t>
  </si>
  <si>
    <t>Spese di trasporto</t>
  </si>
  <si>
    <t>Componente</t>
  </si>
  <si>
    <t>Quantità (Unità)</t>
  </si>
  <si>
    <t>Costo unitario (€)</t>
  </si>
  <si>
    <t>Costo totale iniziale</t>
  </si>
  <si>
    <t>Tasso di sconto</t>
  </si>
  <si>
    <t>Prezzo scontato</t>
  </si>
  <si>
    <t>COSTO FINALE*</t>
  </si>
  <si>
    <t>% sul costo totale**</t>
  </si>
  <si>
    <t>Lo compro?***</t>
  </si>
  <si>
    <t>FIletto di manzo</t>
  </si>
  <si>
    <t>Prosecco DOCG</t>
  </si>
  <si>
    <t>Farina di grano tenero Tipo 0</t>
  </si>
  <si>
    <t>Olio EVO</t>
  </si>
  <si>
    <t>Calici vino in cristallo</t>
  </si>
  <si>
    <t>Parmigiano Reggiano</t>
  </si>
  <si>
    <t>Tranci di salmone fresco</t>
  </si>
  <si>
    <t>Coca cola 33cl</t>
  </si>
  <si>
    <t>Patatine fritte 2,5 kg</t>
  </si>
  <si>
    <t>Pomodori San Marzano 5 kg</t>
  </si>
  <si>
    <t>Riso Carnaroli</t>
  </si>
  <si>
    <t>TOTALE</t>
  </si>
  <si>
    <t>Prezzo massimo</t>
  </si>
  <si>
    <t>Prezzo minimo</t>
  </si>
  <si>
    <t>Prezzo medio</t>
  </si>
  <si>
    <t>*comprensivo di spese di trasporto</t>
  </si>
  <si>
    <t>**peso in percentuale sul costo totale</t>
  </si>
  <si>
    <t>*** Se minore di 250€, lo compro</t>
  </si>
  <si>
    <t>ACQUISTI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</si>
</sst>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€&quot;#,##0.00"/>
  </numFmts>
  <fonts count="6">
    <font>
      <sz val="10.0"/>
      <color rgb="FF000000"/>
      <name val="Arial"/>
      <scheme val="minor"/>
    </font>
    <font>
      <b/>
      <sz val="16.0"/>
      <color theme="1"/>
      <name val="Calibri"/>
    </font>
    <font>
      <color theme="1"/>
      <name val="Calibri"/>
    </font>
    <font>
      <b/>
      <sz val="12.0"/>
      <color theme="1"/>
      <name val="Calibri"/>
    </font>
    <font>
      <i/>
      <sz val="12.0"/>
      <color theme="1"/>
      <name val="Calibri"/>
    </font>
    <font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5" numFmtId="0" xfId="0" applyFont="1"/>
    <xf borderId="0" fillId="0" fontId="2" numFmtId="3" xfId="0" applyAlignment="1" applyFont="1" applyNumberFormat="1">
      <alignment horizontal="center"/>
    </xf>
    <xf borderId="0" fillId="0" fontId="2" numFmtId="164" xfId="0" applyAlignment="1" applyFont="1" applyNumberFormat="1">
      <alignment horizontal="right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5" numFmtId="0" xfId="0" applyFont="1"/>
    <xf borderId="0" fillId="0" fontId="2" numFmtId="0" xfId="0" applyAlignment="1" applyFont="1">
      <alignment horizontal="right"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2.25"/>
  </cols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3" t="s">
        <v>2</v>
      </c>
      <c r="D2" s="2"/>
      <c r="E2" s="3" t="s">
        <v>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/>
      <c r="B8" s="4"/>
      <c r="C8" s="4"/>
      <c r="D8" s="4"/>
      <c r="E8" s="4"/>
      <c r="F8" s="4"/>
      <c r="G8" s="4"/>
      <c r="H8" s="4"/>
      <c r="I8" s="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8</v>
      </c>
      <c r="B11" s="2"/>
      <c r="C11" s="6">
        <v>0.05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9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  <c r="I13" s="4" t="s">
        <v>17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18</v>
      </c>
      <c r="B14" s="8">
        <v>10.0</v>
      </c>
      <c r="C14" s="9">
        <v>28.0</v>
      </c>
      <c r="D14" s="2"/>
      <c r="E14" s="6">
        <v>0.1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19</v>
      </c>
      <c r="B15" s="10">
        <v>24.0</v>
      </c>
      <c r="C15" s="11">
        <v>6.4</v>
      </c>
      <c r="D15" s="2"/>
      <c r="E15" s="6">
        <v>0.15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20</v>
      </c>
      <c r="B16" s="10">
        <v>50.0</v>
      </c>
      <c r="C16" s="9">
        <v>1.2</v>
      </c>
      <c r="D16" s="2"/>
      <c r="E16" s="6">
        <v>0.05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21</v>
      </c>
      <c r="B17" s="10">
        <v>5.0</v>
      </c>
      <c r="C17" s="11">
        <v>25.0</v>
      </c>
      <c r="D17" s="2"/>
      <c r="E17" s="6">
        <v>0.12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22</v>
      </c>
      <c r="B18" s="12">
        <v>20.0</v>
      </c>
      <c r="C18" s="9">
        <v>4.5</v>
      </c>
      <c r="D18" s="2"/>
      <c r="E18" s="6">
        <v>0.15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23</v>
      </c>
      <c r="B19" s="10">
        <v>12.0</v>
      </c>
      <c r="C19" s="9">
        <v>18.0</v>
      </c>
      <c r="D19" s="2"/>
      <c r="E19" s="6">
        <v>0.15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24</v>
      </c>
      <c r="B20" s="12">
        <v>13.0</v>
      </c>
      <c r="C20" s="9">
        <v>21.6</v>
      </c>
      <c r="D20" s="2"/>
      <c r="E20" s="6">
        <v>0.2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 t="s">
        <v>25</v>
      </c>
      <c r="B21" s="10">
        <v>48.0</v>
      </c>
      <c r="C21" s="9">
        <v>0.7</v>
      </c>
      <c r="D21" s="2"/>
      <c r="E21" s="6">
        <v>0.03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 t="s">
        <v>26</v>
      </c>
      <c r="B22" s="10">
        <v>10.0</v>
      </c>
      <c r="C22" s="11">
        <v>21.6</v>
      </c>
      <c r="D22" s="2"/>
      <c r="E22" s="6">
        <v>0.08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 t="s">
        <v>27</v>
      </c>
      <c r="B23" s="13">
        <v>5.0</v>
      </c>
      <c r="C23" s="9">
        <v>12.5</v>
      </c>
      <c r="D23" s="2"/>
      <c r="E23" s="6">
        <v>0.2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4" t="s">
        <v>28</v>
      </c>
      <c r="B24" s="12">
        <v>30.0</v>
      </c>
      <c r="C24" s="9">
        <v>3.8</v>
      </c>
      <c r="D24" s="2"/>
      <c r="E24" s="6">
        <v>0.18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 t="s">
        <v>29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30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s">
        <v>31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">
        <v>32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s">
        <v>33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s">
        <v>34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s">
        <v>35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6">
    <mergeCell ref="A1:I1"/>
    <mergeCell ref="A4:I4"/>
    <mergeCell ref="A5:I5"/>
    <mergeCell ref="A6:I6"/>
    <mergeCell ref="A25:F25"/>
    <mergeCell ref="A9:I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2.25"/>
  </cols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3" t="s">
        <v>2</v>
      </c>
      <c r="D2" s="2"/>
      <c r="E2" s="3" t="s">
        <v>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36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8</v>
      </c>
      <c r="B11" s="2"/>
      <c r="C11" s="6">
        <v>0.05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9</v>
      </c>
      <c r="B14" s="4" t="s">
        <v>10</v>
      </c>
      <c r="C14" s="4" t="s">
        <v>11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16</v>
      </c>
      <c r="I14" s="4" t="s">
        <v>17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18</v>
      </c>
      <c r="B15" s="8">
        <v>10.0</v>
      </c>
      <c r="C15" s="9">
        <v>28.0</v>
      </c>
      <c r="D15" s="16">
        <f t="shared" ref="D15:D25" si="1">B15*C15</f>
        <v>280</v>
      </c>
      <c r="E15" s="6">
        <v>0.1</v>
      </c>
      <c r="F15" s="16">
        <f t="shared" ref="F15:F25" si="2">D15-(D15*E15)</f>
        <v>252</v>
      </c>
      <c r="G15" s="16">
        <f t="shared" ref="G15:G25" si="3">F15+(F15*$C$11)</f>
        <v>264.6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19</v>
      </c>
      <c r="B16" s="10">
        <v>24.0</v>
      </c>
      <c r="C16" s="11">
        <v>6.4</v>
      </c>
      <c r="D16" s="16">
        <f t="shared" si="1"/>
        <v>153.6</v>
      </c>
      <c r="E16" s="6">
        <v>0.15</v>
      </c>
      <c r="F16" s="16">
        <f t="shared" si="2"/>
        <v>130.56</v>
      </c>
      <c r="G16" s="16">
        <f t="shared" si="3"/>
        <v>137.088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20</v>
      </c>
      <c r="B17" s="10">
        <v>50.0</v>
      </c>
      <c r="C17" s="9">
        <v>1.2</v>
      </c>
      <c r="D17" s="16">
        <f t="shared" si="1"/>
        <v>60</v>
      </c>
      <c r="E17" s="6">
        <v>0.05</v>
      </c>
      <c r="F17" s="16">
        <f t="shared" si="2"/>
        <v>57</v>
      </c>
      <c r="G17" s="16">
        <f t="shared" si="3"/>
        <v>59.85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21</v>
      </c>
      <c r="B18" s="10">
        <v>5.0</v>
      </c>
      <c r="C18" s="11">
        <v>25.0</v>
      </c>
      <c r="D18" s="16">
        <f t="shared" si="1"/>
        <v>125</v>
      </c>
      <c r="E18" s="6">
        <v>0.12</v>
      </c>
      <c r="F18" s="16">
        <f t="shared" si="2"/>
        <v>110</v>
      </c>
      <c r="G18" s="16">
        <f t="shared" si="3"/>
        <v>115.5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22</v>
      </c>
      <c r="B19" s="12">
        <v>20.0</v>
      </c>
      <c r="C19" s="9">
        <v>4.5</v>
      </c>
      <c r="D19" s="16">
        <f t="shared" si="1"/>
        <v>90</v>
      </c>
      <c r="E19" s="6">
        <v>0.15</v>
      </c>
      <c r="F19" s="16">
        <f t="shared" si="2"/>
        <v>76.5</v>
      </c>
      <c r="G19" s="16">
        <f t="shared" si="3"/>
        <v>80.325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23</v>
      </c>
      <c r="B20" s="10">
        <v>12.0</v>
      </c>
      <c r="C20" s="9">
        <v>18.0</v>
      </c>
      <c r="D20" s="16">
        <f t="shared" si="1"/>
        <v>216</v>
      </c>
      <c r="E20" s="6">
        <v>0.15</v>
      </c>
      <c r="F20" s="16">
        <f t="shared" si="2"/>
        <v>183.6</v>
      </c>
      <c r="G20" s="16">
        <f t="shared" si="3"/>
        <v>192.78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 t="s">
        <v>24</v>
      </c>
      <c r="B21" s="12">
        <v>13.0</v>
      </c>
      <c r="C21" s="9">
        <v>21.6</v>
      </c>
      <c r="D21" s="16">
        <f t="shared" si="1"/>
        <v>280.8</v>
      </c>
      <c r="E21" s="6">
        <v>0.2</v>
      </c>
      <c r="F21" s="16">
        <f t="shared" si="2"/>
        <v>224.64</v>
      </c>
      <c r="G21" s="16">
        <f t="shared" si="3"/>
        <v>235.872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 t="s">
        <v>25</v>
      </c>
      <c r="B22" s="10">
        <v>48.0</v>
      </c>
      <c r="C22" s="9">
        <v>0.7</v>
      </c>
      <c r="D22" s="16">
        <f t="shared" si="1"/>
        <v>33.6</v>
      </c>
      <c r="E22" s="6">
        <v>0.03</v>
      </c>
      <c r="F22" s="16">
        <f t="shared" si="2"/>
        <v>32.592</v>
      </c>
      <c r="G22" s="16">
        <f t="shared" si="3"/>
        <v>34.2216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 t="s">
        <v>26</v>
      </c>
      <c r="B23" s="10">
        <v>10.0</v>
      </c>
      <c r="C23" s="11">
        <v>21.6</v>
      </c>
      <c r="D23" s="16">
        <f t="shared" si="1"/>
        <v>216</v>
      </c>
      <c r="E23" s="6">
        <v>0.08</v>
      </c>
      <c r="F23" s="16">
        <f t="shared" si="2"/>
        <v>198.72</v>
      </c>
      <c r="G23" s="16">
        <f t="shared" si="3"/>
        <v>208.656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 t="s">
        <v>27</v>
      </c>
      <c r="B24" s="13">
        <v>5.0</v>
      </c>
      <c r="C24" s="9">
        <v>12.5</v>
      </c>
      <c r="D24" s="16">
        <f t="shared" si="1"/>
        <v>62.5</v>
      </c>
      <c r="E24" s="6">
        <v>0.2</v>
      </c>
      <c r="F24" s="16">
        <f t="shared" si="2"/>
        <v>50</v>
      </c>
      <c r="G24" s="16">
        <f t="shared" si="3"/>
        <v>52.5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4" t="s">
        <v>28</v>
      </c>
      <c r="B25" s="12">
        <v>30.0</v>
      </c>
      <c r="C25" s="9">
        <v>3.8</v>
      </c>
      <c r="D25" s="16">
        <f t="shared" si="1"/>
        <v>114</v>
      </c>
      <c r="E25" s="6">
        <v>0.18</v>
      </c>
      <c r="F25" s="16">
        <f t="shared" si="2"/>
        <v>93.48</v>
      </c>
      <c r="G25" s="16">
        <f t="shared" si="3"/>
        <v>98.154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30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s">
        <v>31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">
        <v>32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s">
        <v>33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s">
        <v>34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s">
        <v>35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4">
    <mergeCell ref="A1:I1"/>
    <mergeCell ref="A4:I4"/>
    <mergeCell ref="A5:I5"/>
    <mergeCell ref="A6:I6"/>
  </mergeCells>
  <drawing r:id="rId1"/>
</worksheet>
</file>